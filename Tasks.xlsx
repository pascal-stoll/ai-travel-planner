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02\Nextcloud\Documents\03_Data Science - Uni Stuttgart\06_SoS 2026\04_Software Engineering\Group project 3\ai-travel-planner\"/>
    </mc:Choice>
  </mc:AlternateContent>
  <xr:revisionPtr revIDLastSave="0" documentId="13_ncr:1_{F6465E58-F374-294C-99D3-0E516C95C3C2}" xr6:coauthVersionLast="47" xr6:coauthVersionMax="47" xr10:uidLastSave="{00000000-0000-0000-0000-000000000000}"/>
  <bookViews>
    <workbookView xWindow="-120" yWindow="-120" windowWidth="29040" windowHeight="15720" xr2:uid="{834F46D4-8CFA-4605-9F2C-653FA769D6F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8" i="1" l="1"/>
  <c r="L9" i="1"/>
  <c r="L10" i="1"/>
  <c r="M8" i="1"/>
  <c r="M9" i="1"/>
  <c r="M10" i="1"/>
  <c r="J6" i="1"/>
  <c r="L6" i="1" s="1"/>
  <c r="J7" i="1"/>
  <c r="J8" i="1"/>
  <c r="J9" i="1"/>
  <c r="J10" i="1"/>
  <c r="J5" i="1"/>
  <c r="I7" i="1"/>
  <c r="I8" i="1"/>
  <c r="I9" i="1"/>
  <c r="I10" i="1"/>
  <c r="I6" i="1"/>
  <c r="L7" i="1" l="1"/>
  <c r="M7" i="1" s="1"/>
  <c r="I11" i="1"/>
  <c r="K6" i="1"/>
  <c r="K7" i="1" s="1"/>
  <c r="K8" i="1" s="1"/>
  <c r="K9" i="1" s="1"/>
  <c r="K10" i="1" s="1"/>
</calcChain>
</file>

<file path=xl/sharedStrings.xml><?xml version="1.0" encoding="utf-8"?>
<sst xmlns="http://schemas.openxmlformats.org/spreadsheetml/2006/main" count="443" uniqueCount="204">
  <si>
    <t>Project Setup</t>
  </si>
  <si>
    <t>Create frontend project structure (React/Vite or chosen stack)</t>
  </si>
  <si>
    <t>Create backend Node.js + Express project</t>
  </si>
  <si>
    <t>Configure Git branches and folder conventions</t>
  </si>
  <si>
    <t>Install core dependencies (Leaflet, jsPDF, Axios/Fetch helpers, UUID)</t>
  </si>
  <si>
    <t>Configure linting and formatting (ESLint + Prettier)</t>
  </si>
  <si>
    <t>Define global CSS variables (colors, spacing, typography)</t>
  </si>
  <si>
    <t>Create responsive layout shell and navigation</t>
  </si>
  <si>
    <t>Backend Foundation</t>
  </si>
  <si>
    <t>Create Express server bootstrap</t>
  </si>
  <si>
    <t>Configure CORS and JSON middleware</t>
  </si>
  <si>
    <t>Add DeepSeek API environment variable handling</t>
  </si>
  <si>
    <t>Implement backend timeout handling (15 s)</t>
  </si>
  <si>
    <t>Create shared API response format</t>
  </si>
  <si>
    <t>Fast-Path Landing Screen</t>
  </si>
  <si>
    <t>Create landing page layout</t>
  </si>
  <si>
    <t>Implement Mood selector button</t>
  </si>
  <si>
    <t>Create Mood bottom-sheet modal</t>
  </si>
  <si>
    <t>Add 6 mood tiles with icons and labels</t>
  </si>
  <si>
    <t>Add mood multi-select logic</t>
  </si>
  <si>
    <t>Implement selection confirmation animation</t>
  </si>
  <si>
    <t>Implement Duration selector button</t>
  </si>
  <si>
    <t>Create Duration bottom-sheet modal</t>
  </si>
  <si>
    <t>Add duration segmented options</t>
  </si>
  <si>
    <t>Implement Radius selector button</t>
  </si>
  <si>
    <t>Create Radius selector modal</t>
  </si>
  <si>
    <t>Add radius preset options</t>
  </si>
  <si>
    <t>Add “Anywhere” option behavior</t>
  </si>
  <si>
    <t>UX + Accessibility</t>
  </si>
  <si>
    <t>Add keyboard navigation support for selector buttons</t>
  </si>
  <si>
    <t>Add ARIA labels for mood/duration/radius options</t>
  </si>
  <si>
    <t>Ensure 72×72 dp button sizing</t>
  </si>
  <si>
    <t>Add focus states for all interactive elements</t>
  </si>
  <si>
    <t>Validate mobile responsiveness for landing page</t>
  </si>
  <si>
    <t>Selection Flow Logic</t>
  </si>
  <si>
    <t>Implement sequential selector activation flow</t>
  </si>
  <si>
    <t>Persist selected values in component state</t>
  </si>
  <si>
    <t>Create trip brief chip row</t>
  </si>
  <si>
    <t>Add editable chips behavior</t>
  </si>
  <si>
    <t>Implement 300 ms delayed auto-trigger</t>
  </si>
  <si>
    <t>Implement long-press gesture detection</t>
  </si>
  <si>
    <t>Create extended options tab container</t>
  </si>
  <si>
    <t>Geolocation + Radius Logic</t>
  </si>
  <si>
    <t>Integrate browser Geolocation API</t>
  </si>
  <si>
    <t>Add geolocation loading state</t>
  </si>
  <si>
    <t>Add geolocation fallback text input</t>
  </si>
  <si>
    <t>Display detected city name in radius sheet</t>
  </si>
  <si>
    <t>Handle denied location permission state</t>
  </si>
  <si>
    <t>Handle geolocation timeout state</t>
  </si>
  <si>
    <t>Prompt Engineering Layer</t>
  </si>
  <si>
    <t>Define prompt template structure</t>
  </si>
  <si>
    <t>Implement fast-path default injection</t>
  </si>
  <si>
    <t>Add parameter sanitization</t>
  </si>
  <si>
    <t>Append JSON schema instructions to prompt</t>
  </si>
  <si>
    <t>Create itinerary JSON schema definition</t>
  </si>
  <si>
    <t>DeepSeek Integration</t>
  </si>
  <si>
    <t>Implement DeepSeek proxy service</t>
  </si>
  <si>
    <t>Add API error handling</t>
  </si>
  <si>
    <t>Add one-retry logic for malformed responses</t>
  </si>
  <si>
    <t>Implement schema validation module</t>
  </si>
  <si>
    <t>Add structured backend error responses</t>
  </si>
  <si>
    <t>Loading + Error States</t>
  </si>
  <si>
    <t>Create loading screen UI</t>
  </si>
  <si>
    <t>Add animated compass component</t>
  </si>
  <si>
    <t>Add rotating status messages</t>
  </si>
  <si>
    <t>Add indeterminate progress bar</t>
  </si>
  <si>
    <t>Display Mood/Duration/Radius chips during loading</t>
  </si>
  <si>
    <t>Create API failure screen</t>
  </si>
  <si>
    <t>Add Retry button logic</t>
  </si>
  <si>
    <t>Add Edit Parameters navigation logic</t>
  </si>
  <si>
    <t>Results Data Layer</t>
  </si>
  <si>
    <t>Define frontend itinerary data model</t>
  </si>
  <si>
    <t>Create API response parser</t>
  </si>
  <si>
    <t>Add frontend schema safety checks</t>
  </si>
  <si>
    <t>Implement loading-to-results transition</t>
  </si>
  <si>
    <t>List View</t>
  </si>
  <si>
    <t>Create Results screen layout</t>
  </si>
  <si>
    <t>Create destination header section</t>
  </si>
  <si>
    <t>Integrate Unsplash destination images</t>
  </si>
  <si>
    <t>Add fallback placeholder image</t>
  </si>
  <si>
    <t>Create day-card accordion component</t>
  </si>
  <si>
    <t>Create itinerary stop card component</t>
  </si>
  <si>
    <t>Add stop category chips</t>
  </si>
  <si>
    <t>Add arrival time display</t>
  </si>
  <si>
    <t>Add duration pill display</t>
  </si>
  <si>
    <t>Add AI-generated description display</t>
  </si>
  <si>
    <t>Add inter-stop travel note component</t>
  </si>
  <si>
    <t>Map View</t>
  </si>
  <si>
    <t>Install and configure Leaflet.js</t>
  </si>
  <si>
    <t>Create map container component</t>
  </si>
  <si>
    <t>Render stop markers from coordinates</t>
  </si>
  <si>
    <t>Add numbered map pins</t>
  </si>
  <si>
    <t>Draw route polyline</t>
  </si>
  <si>
    <t>Add transport-adaptive line styles</t>
  </si>
  <si>
    <t>Add map zoom controls</t>
  </si>
  <si>
    <t>Add map recenter control</t>
  </si>
  <si>
    <t>Implement List/Map tab switching</t>
  </si>
  <si>
    <t>Preserve state between tab changes</t>
  </si>
  <si>
    <t>Stop Detail Interactions</t>
  </si>
  <si>
    <t>Create stop detail bottom sheet</t>
  </si>
  <si>
    <t>Open detail sheet on marker click</t>
  </si>
  <si>
    <t>Display stop metadata inside sheet</t>
  </si>
  <si>
    <t>Add swipe-down dismiss behavior</t>
  </si>
  <si>
    <t>Add tap-outside dismiss behavior</t>
  </si>
  <si>
    <t>Responsiveness</t>
  </si>
  <si>
    <t>Optimize Results page for mobile</t>
  </si>
  <si>
    <t>Validate 360 px viewport support</t>
  </si>
  <si>
    <t>Prevent horizontal scrolling</t>
  </si>
  <si>
    <t>Single Stop Regeneration</t>
  </si>
  <si>
    <t>Add refresh icon to stop cards</t>
  </si>
  <si>
    <t>Send contextual neighboring stops to AI</t>
  </si>
  <si>
    <t>Replace only regenerated stop in state</t>
  </si>
  <si>
    <t>Add inline loading spinner</t>
  </si>
  <si>
    <t>Preserve rest of itinerary during regeneration</t>
  </si>
  <si>
    <t>Extended Wizard Flow</t>
  </si>
  <si>
    <t>Create multi-step wizard container</t>
  </si>
  <si>
    <t>Build Trip Type step</t>
  </si>
  <si>
    <t>Build Location + Distance step</t>
  </si>
  <si>
    <t>Build Duration step</t>
  </si>
  <si>
    <t>Build Budget step</t>
  </si>
  <si>
    <t>Build Traveller Group step</t>
  </si>
  <si>
    <t>Build Transport Mode step</t>
  </si>
  <si>
    <t>Build Review &amp; Confirm screen</t>
  </si>
  <si>
    <t>Add inline validation messages</t>
  </si>
  <si>
    <t>Disable navigation on invalid inputs</t>
  </si>
  <si>
    <t>Add inline edit navigation from review page</t>
  </si>
  <si>
    <t>Surprise Me Mode</t>
  </si>
  <si>
    <t>Create Surprise Me CTA</t>
  </si>
  <si>
    <t>Generate random valid parameter combinations</t>
  </si>
  <si>
    <t>Trigger automatic itinerary generation</t>
  </si>
  <si>
    <t>Bypass wizard and selectors</t>
  </si>
  <si>
    <t>localStorage Persistence</t>
  </si>
  <si>
    <t>Create localStorage manager utility</t>
  </si>
  <si>
    <t>Implement itinerary auto-save</t>
  </si>
  <si>
    <t>Generate UUID-v4 storage keys</t>
  </si>
  <si>
    <t>Save metadata + itinerary payload</t>
  </si>
  <si>
    <t>Add 24 h TTL handling for trip brief state</t>
  </si>
  <si>
    <t>Prevent coordinate persistence</t>
  </si>
  <si>
    <t>Handle quota exceeded errors</t>
  </si>
  <si>
    <t>My Trips Screen</t>
  </si>
  <si>
    <t>Create My Trips page layout</t>
  </si>
  <si>
    <t>Load saved itineraries from storage</t>
  </si>
  <si>
    <t>Create trip history cards</t>
  </si>
  <si>
    <t>Display destination thumbnail and metadata</t>
  </si>
  <si>
    <t>Add search/filter input</t>
  </si>
  <si>
    <t>Implement real-time filtering</t>
  </si>
  <si>
    <t>Add empty state UI</t>
  </si>
  <si>
    <t>Add delete itinerary action</t>
  </si>
  <si>
    <t>Add delete confirmation modal</t>
  </si>
  <si>
    <t>Add swipe-to-delete behavior on mobile</t>
  </si>
  <si>
    <t>PDF Export</t>
  </si>
  <si>
    <t>Integrate jsPDF</t>
  </si>
  <si>
    <t>Create PDF layout template</t>
  </si>
  <si>
    <t>Export destination header image</t>
  </si>
  <si>
    <t>Export trip metadata</t>
  </si>
  <si>
    <t>Export day-by-day itinerary content</t>
  </si>
  <si>
    <t>Add generation-date footer</t>
  </si>
  <si>
    <t>Trigger browser PDF download</t>
  </si>
  <si>
    <t>Shareable Links</t>
  </si>
  <si>
    <t>Encode itinerary JSON as Base64</t>
  </si>
  <si>
    <t>Generate shareable URL</t>
  </si>
  <si>
    <t>Implement copy-to-clipboard functionality</t>
  </si>
  <si>
    <t>Add success toast notification</t>
  </si>
  <si>
    <t>Parse itinerary from shared URL</t>
  </si>
  <si>
    <t>Performance + Reliability</t>
  </si>
  <si>
    <t>Optimize API loading performance</t>
  </si>
  <si>
    <t>Optimize map rendering performance</t>
  </si>
  <si>
    <t>Verify 15-second API timeout behavior</t>
  </si>
  <si>
    <t>Verify stop regeneration under 10 seconds</t>
  </si>
  <si>
    <t>Test fallback image rendering</t>
  </si>
  <si>
    <t>Test graceful API failures</t>
  </si>
  <si>
    <t>Test malformed JSON handling</t>
  </si>
  <si>
    <t>Verify recoverable UI states</t>
  </si>
  <si>
    <t>Accessibility + UX Validation</t>
  </si>
  <si>
    <t>Verify WCAG contrast compliance</t>
  </si>
  <si>
    <t>Verify keyboard-only navigation</t>
  </si>
  <si>
    <t>Verify touch target sizes</t>
  </si>
  <si>
    <t>Validate loading and error message clarity</t>
  </si>
  <si>
    <t>Run responsive testing across breakpoints</t>
  </si>
  <si>
    <t>Test Chrome compatibility</t>
  </si>
  <si>
    <t>Test Firefox compatibility</t>
  </si>
  <si>
    <t>Test Safari compatibility</t>
  </si>
  <si>
    <r>
      <t xml:space="preserve">Configure shared environment variables and </t>
    </r>
    <r>
      <rPr>
        <sz val="11"/>
        <color theme="1"/>
        <rFont val="Arial Unicode MS"/>
        <family val="2"/>
      </rPr>
      <t>.env.example</t>
    </r>
  </si>
  <si>
    <r>
      <t xml:space="preserve">Create </t>
    </r>
    <r>
      <rPr>
        <sz val="11"/>
        <color theme="1"/>
        <rFont val="Arial Unicode MS"/>
        <family val="2"/>
      </rPr>
      <t>/api/generate</t>
    </r>
    <r>
      <rPr>
        <sz val="11"/>
        <color theme="1"/>
        <rFont val="Aptos Narrow"/>
        <family val="2"/>
        <scheme val="minor"/>
      </rPr>
      <t xml:space="preserve"> endpoint scaffold</t>
    </r>
  </si>
  <si>
    <r>
      <t xml:space="preserve">Create </t>
    </r>
    <r>
      <rPr>
        <sz val="11"/>
        <color theme="1"/>
        <rFont val="Arial Unicode MS"/>
        <family val="2"/>
      </rPr>
      <t>/api/regen</t>
    </r>
    <r>
      <rPr>
        <sz val="11"/>
        <color theme="1"/>
        <rFont val="Aptos Narrow"/>
        <family val="2"/>
        <scheme val="minor"/>
      </rPr>
      <t xml:space="preserve"> endpoint scaffold</t>
    </r>
  </si>
  <si>
    <r>
      <t xml:space="preserve">Create </t>
    </r>
    <r>
      <rPr>
        <sz val="11"/>
        <color theme="1"/>
        <rFont val="Arial Unicode MS"/>
        <family val="2"/>
      </rPr>
      <t>promptBuilder.js</t>
    </r>
  </si>
  <si>
    <r>
      <t xml:space="preserve">Connect </t>
    </r>
    <r>
      <rPr>
        <sz val="11"/>
        <color theme="1"/>
        <rFont val="Arial Unicode MS"/>
        <family val="2"/>
      </rPr>
      <t>/api/generate</t>
    </r>
    <r>
      <rPr>
        <sz val="11"/>
        <color theme="1"/>
        <rFont val="Aptos Narrow"/>
        <family val="2"/>
        <scheme val="minor"/>
      </rPr>
      <t xml:space="preserve"> to DeepSeek</t>
    </r>
  </si>
  <si>
    <r>
      <t xml:space="preserve">Connect </t>
    </r>
    <r>
      <rPr>
        <sz val="11"/>
        <color theme="1"/>
        <rFont val="Arial Unicode MS"/>
        <family val="2"/>
      </rPr>
      <t>/api/regen</t>
    </r>
    <r>
      <rPr>
        <sz val="11"/>
        <color theme="1"/>
        <rFont val="Aptos Narrow"/>
        <family val="2"/>
        <scheme val="minor"/>
      </rPr>
      <t xml:space="preserve"> endpoint</t>
    </r>
  </si>
  <si>
    <t>Day</t>
  </si>
  <si>
    <t>Task</t>
  </si>
  <si>
    <t>Category</t>
  </si>
  <si>
    <t>TravelMind Alpha Sprint Tasks</t>
  </si>
  <si>
    <t>Overview</t>
  </si>
  <si>
    <t># tasks</t>
  </si>
  <si>
    <t>Summe</t>
  </si>
  <si>
    <t># completed on day</t>
  </si>
  <si>
    <t>real</t>
  </si>
  <si>
    <t>Completed on day</t>
  </si>
  <si>
    <t>ideal</t>
  </si>
  <si>
    <t>Burn-down</t>
  </si>
  <si>
    <t>Name</t>
  </si>
  <si>
    <t>Philipp</t>
  </si>
  <si>
    <t>Pascal</t>
  </si>
  <si>
    <t>Jacopo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</si>
</sst>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 Unicode MS"/>
      <family val="2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/>
    </xf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Alpha Sprint Burn-down chart (day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Tabelle1!$K$4</c:f>
              <c:strCache>
                <c:ptCount val="1"/>
                <c:pt idx="0">
                  <c:v>ideal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Tabelle1!$H$5:$H$10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Tabelle1!$K$5:$K$10</c:f>
              <c:numCache>
                <c:formatCode>General</c:formatCode>
                <c:ptCount val="6"/>
                <c:pt idx="0">
                  <c:v>165</c:v>
                </c:pt>
                <c:pt idx="1">
                  <c:v>132</c:v>
                </c:pt>
                <c:pt idx="2">
                  <c:v>99</c:v>
                </c:pt>
                <c:pt idx="3">
                  <c:v>66</c:v>
                </c:pt>
                <c:pt idx="4">
                  <c:v>28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9D-46DB-9DB5-8F0496310BC7}"/>
            </c:ext>
          </c:extLst>
        </c:ser>
        <c:ser>
          <c:idx val="1"/>
          <c:order val="1"/>
          <c:tx>
            <c:strRef>
              <c:f>Tabelle1!$L$4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Tabelle1!$H$5:$H$10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Tabelle1!$L$5:$L$7</c:f>
              <c:numCache>
                <c:formatCode>General</c:formatCode>
                <c:ptCount val="3"/>
                <c:pt idx="0">
                  <c:v>165</c:v>
                </c:pt>
                <c:pt idx="1">
                  <c:v>137</c:v>
                </c:pt>
                <c:pt idx="2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9D-46DB-9DB5-8F0496310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3843951"/>
        <c:axId val="433833871"/>
      </c:lineChart>
      <c:catAx>
        <c:axId val="433843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Day of Alpha Sprint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3833871"/>
        <c:crosses val="autoZero"/>
        <c:auto val="1"/>
        <c:lblAlgn val="ctr"/>
        <c:lblOffset val="100"/>
        <c:noMultiLvlLbl val="0"/>
      </c:catAx>
      <c:valAx>
        <c:axId val="43383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Number of 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384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723900</xdr:colOff>
      <xdr:row>12</xdr:row>
      <xdr:rowOff>14287</xdr:rowOff>
    </xdr:from>
    <xdr:to>
      <xdr:col>14</xdr:col>
      <xdr:colOff>676275</xdr:colOff>
      <xdr:row>28</xdr:row>
      <xdr:rowOff>161925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A8B1253-B024-BCC7-ACE4-D628EA017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1D602-D536-4BC9-865A-CD2C06CAE9C2}">
  <dimension ref="B2:M193"/>
  <sheetViews>
    <sheetView tabSelected="1" topLeftCell="A97" zoomScale="110" workbookViewId="0">
      <selection activeCell="G112" sqref="G112"/>
    </sheetView>
  </sheetViews>
  <sheetFormatPr baseColWidth="10" defaultRowHeight="15"/>
  <cols>
    <col min="2" max="2" width="6.85546875" customWidth="1"/>
    <col min="3" max="3" width="22.85546875" customWidth="1"/>
    <col min="4" max="4" width="29.7109375" customWidth="1"/>
    <col min="5" max="5" width="66.140625" customWidth="1"/>
    <col min="6" max="6" width="12.42578125" customWidth="1"/>
  </cols>
  <sheetData>
    <row r="2" spans="2:13" ht="21">
      <c r="B2" s="5" t="s">
        <v>191</v>
      </c>
      <c r="C2" s="5"/>
      <c r="H2" s="5" t="s">
        <v>192</v>
      </c>
    </row>
    <row r="3" spans="2:13">
      <c r="E3" s="4"/>
      <c r="K3" t="s">
        <v>199</v>
      </c>
      <c r="L3">
        <v>2</v>
      </c>
    </row>
    <row r="4" spans="2:13">
      <c r="B4" s="1" t="s">
        <v>188</v>
      </c>
      <c r="C4" s="1" t="s">
        <v>200</v>
      </c>
      <c r="D4" s="1" t="s">
        <v>190</v>
      </c>
      <c r="E4" s="1" t="s">
        <v>189</v>
      </c>
      <c r="F4" s="1" t="s">
        <v>197</v>
      </c>
      <c r="H4" s="1" t="s">
        <v>188</v>
      </c>
      <c r="I4" s="1" t="s">
        <v>193</v>
      </c>
      <c r="J4" s="1" t="s">
        <v>195</v>
      </c>
      <c r="K4" s="1" t="s">
        <v>198</v>
      </c>
      <c r="L4" s="1" t="s">
        <v>196</v>
      </c>
    </row>
    <row r="5" spans="2:13">
      <c r="B5">
        <v>1</v>
      </c>
      <c r="C5" t="s">
        <v>201</v>
      </c>
      <c r="D5" s="3" t="s">
        <v>0</v>
      </c>
      <c r="E5" s="2" t="s">
        <v>1</v>
      </c>
      <c r="F5">
        <v>1</v>
      </c>
      <c r="H5">
        <v>0</v>
      </c>
      <c r="I5">
        <v>0</v>
      </c>
      <c r="J5">
        <f t="shared" ref="J5:J10" si="0">COUNTIF($F$5:$F$199,H5)</f>
        <v>0</v>
      </c>
      <c r="K5">
        <v>165</v>
      </c>
      <c r="L5">
        <v>165</v>
      </c>
    </row>
    <row r="6" spans="2:13">
      <c r="B6">
        <v>1</v>
      </c>
      <c r="C6" t="s">
        <v>201</v>
      </c>
      <c r="D6" s="3" t="s">
        <v>0</v>
      </c>
      <c r="E6" s="2" t="s">
        <v>2</v>
      </c>
      <c r="F6">
        <v>1</v>
      </c>
      <c r="H6">
        <v>1</v>
      </c>
      <c r="I6">
        <f>COUNTIF($B$5:$B$1900,H6)</f>
        <v>33</v>
      </c>
      <c r="J6">
        <f t="shared" si="0"/>
        <v>28</v>
      </c>
      <c r="K6">
        <f>K5-I6</f>
        <v>132</v>
      </c>
      <c r="L6">
        <f>IF(H6&gt;$L$3,"",L5-J6)</f>
        <v>137</v>
      </c>
    </row>
    <row r="7" spans="2:13">
      <c r="B7">
        <v>1</v>
      </c>
      <c r="C7" t="s">
        <v>201</v>
      </c>
      <c r="D7" s="3" t="s">
        <v>0</v>
      </c>
      <c r="E7" s="2" t="s">
        <v>182</v>
      </c>
      <c r="F7">
        <v>1</v>
      </c>
      <c r="H7">
        <v>2</v>
      </c>
      <c r="I7">
        <f t="shared" ref="I7:I10" si="1">COUNTIF($B$5:$B$1900,H7)</f>
        <v>33</v>
      </c>
      <c r="J7">
        <f t="shared" si="0"/>
        <v>38</v>
      </c>
      <c r="K7">
        <f t="shared" ref="K7:K10" si="2">K6-I7</f>
        <v>99</v>
      </c>
      <c r="L7">
        <f t="shared" ref="L7:L10" si="3">IF(H7&gt;$L$3,"",L6-J7)</f>
        <v>99</v>
      </c>
      <c r="M7">
        <f>IF(H7&gt;$L$3,"",L7)</f>
        <v>99</v>
      </c>
    </row>
    <row r="8" spans="2:13">
      <c r="B8">
        <v>1</v>
      </c>
      <c r="C8" t="s">
        <v>201</v>
      </c>
      <c r="D8" s="3" t="s">
        <v>0</v>
      </c>
      <c r="E8" s="2" t="s">
        <v>3</v>
      </c>
      <c r="F8">
        <v>1</v>
      </c>
      <c r="H8">
        <v>3</v>
      </c>
      <c r="I8">
        <f t="shared" si="1"/>
        <v>33</v>
      </c>
      <c r="J8">
        <f t="shared" si="0"/>
        <v>33</v>
      </c>
      <c r="K8">
        <f t="shared" si="2"/>
        <v>66</v>
      </c>
      <c r="L8" t="str">
        <f t="shared" si="3"/>
        <v/>
      </c>
      <c r="M8" t="str">
        <f>IF(H8&gt;$L$3,"",L8)</f>
        <v/>
      </c>
    </row>
    <row r="9" spans="2:13">
      <c r="B9">
        <v>1</v>
      </c>
      <c r="C9" t="s">
        <v>201</v>
      </c>
      <c r="D9" s="3" t="s">
        <v>0</v>
      </c>
      <c r="E9" s="2" t="s">
        <v>4</v>
      </c>
      <c r="F9">
        <v>1</v>
      </c>
      <c r="H9">
        <v>4</v>
      </c>
      <c r="I9">
        <f t="shared" si="1"/>
        <v>38</v>
      </c>
      <c r="J9">
        <f t="shared" si="0"/>
        <v>0</v>
      </c>
      <c r="K9">
        <f t="shared" si="2"/>
        <v>28</v>
      </c>
      <c r="L9" t="str">
        <f t="shared" si="3"/>
        <v/>
      </c>
      <c r="M9" t="str">
        <f>IF(H9&gt;$L$3,"",L9)</f>
        <v/>
      </c>
    </row>
    <row r="10" spans="2:13">
      <c r="B10">
        <v>1</v>
      </c>
      <c r="C10" t="s">
        <v>201</v>
      </c>
      <c r="D10" s="3" t="s">
        <v>0</v>
      </c>
      <c r="E10" s="2" t="s">
        <v>5</v>
      </c>
      <c r="F10">
        <v>1</v>
      </c>
      <c r="H10">
        <v>5</v>
      </c>
      <c r="I10">
        <f t="shared" si="1"/>
        <v>28</v>
      </c>
      <c r="J10">
        <f t="shared" si="0"/>
        <v>0</v>
      </c>
      <c r="K10">
        <f t="shared" si="2"/>
        <v>0</v>
      </c>
      <c r="L10" t="str">
        <f t="shared" si="3"/>
        <v/>
      </c>
      <c r="M10" t="str">
        <f>IF(H10&gt;$L$3,"",L10)</f>
        <v/>
      </c>
    </row>
    <row r="11" spans="2:13">
      <c r="B11">
        <v>1</v>
      </c>
      <c r="C11" t="s">
        <v>201</v>
      </c>
      <c r="D11" s="3" t="s">
        <v>0</v>
      </c>
      <c r="E11" s="2" t="s">
        <v>6</v>
      </c>
      <c r="F11">
        <v>1</v>
      </c>
      <c r="H11" s="8" t="s">
        <v>194</v>
      </c>
      <c r="I11" s="8">
        <f>SUM(I6:I10)</f>
        <v>165</v>
      </c>
    </row>
    <row r="12" spans="2:13">
      <c r="B12">
        <v>1</v>
      </c>
      <c r="C12" t="s">
        <v>201</v>
      </c>
      <c r="D12" s="3" t="s">
        <v>0</v>
      </c>
      <c r="E12" s="2" t="s">
        <v>7</v>
      </c>
      <c r="F12">
        <v>1</v>
      </c>
    </row>
    <row r="14" spans="2:13">
      <c r="B14">
        <v>1</v>
      </c>
      <c r="C14" t="s">
        <v>202</v>
      </c>
      <c r="D14" s="3" t="s">
        <v>8</v>
      </c>
      <c r="E14" s="2" t="s">
        <v>9</v>
      </c>
      <c r="F14">
        <v>1</v>
      </c>
    </row>
    <row r="15" spans="2:13">
      <c r="B15">
        <v>1</v>
      </c>
      <c r="C15" t="s">
        <v>202</v>
      </c>
      <c r="D15" s="3" t="s">
        <v>8</v>
      </c>
      <c r="E15" s="2" t="s">
        <v>10</v>
      </c>
      <c r="F15">
        <v>1</v>
      </c>
    </row>
    <row r="16" spans="2:13">
      <c r="B16">
        <v>1</v>
      </c>
      <c r="C16" t="s">
        <v>202</v>
      </c>
      <c r="D16" s="3" t="s">
        <v>8</v>
      </c>
      <c r="E16" s="2" t="s">
        <v>183</v>
      </c>
      <c r="F16">
        <v>1</v>
      </c>
    </row>
    <row r="17" spans="2:6">
      <c r="B17">
        <v>1</v>
      </c>
      <c r="C17" t="s">
        <v>202</v>
      </c>
      <c r="D17" s="3" t="s">
        <v>8</v>
      </c>
      <c r="E17" s="2" t="s">
        <v>184</v>
      </c>
      <c r="F17">
        <v>1</v>
      </c>
    </row>
    <row r="18" spans="2:6">
      <c r="B18">
        <v>1</v>
      </c>
      <c r="C18" t="s">
        <v>202</v>
      </c>
      <c r="D18" s="3" t="s">
        <v>8</v>
      </c>
      <c r="E18" s="2" t="s">
        <v>11</v>
      </c>
      <c r="F18">
        <v>1</v>
      </c>
    </row>
    <row r="19" spans="2:6">
      <c r="B19">
        <v>1</v>
      </c>
      <c r="C19" t="s">
        <v>202</v>
      </c>
      <c r="D19" s="3" t="s">
        <v>8</v>
      </c>
      <c r="E19" s="2" t="s">
        <v>12</v>
      </c>
      <c r="F19">
        <v>1</v>
      </c>
    </row>
    <row r="20" spans="2:6">
      <c r="B20">
        <v>1</v>
      </c>
      <c r="C20" t="s">
        <v>202</v>
      </c>
      <c r="D20" s="3" t="s">
        <v>8</v>
      </c>
      <c r="E20" s="2" t="s">
        <v>13</v>
      </c>
      <c r="F20">
        <v>1</v>
      </c>
    </row>
    <row r="22" spans="2:6">
      <c r="B22">
        <v>1</v>
      </c>
      <c r="C22" t="s">
        <v>203</v>
      </c>
      <c r="D22" s="3" t="s">
        <v>14</v>
      </c>
      <c r="E22" s="2" t="s">
        <v>15</v>
      </c>
      <c r="F22">
        <v>1</v>
      </c>
    </row>
    <row r="23" spans="2:6">
      <c r="B23">
        <v>1</v>
      </c>
      <c r="C23" t="s">
        <v>203</v>
      </c>
      <c r="D23" s="3" t="s">
        <v>14</v>
      </c>
      <c r="E23" s="2" t="s">
        <v>16</v>
      </c>
      <c r="F23">
        <v>1</v>
      </c>
    </row>
    <row r="24" spans="2:6">
      <c r="B24">
        <v>1</v>
      </c>
      <c r="C24" t="s">
        <v>203</v>
      </c>
      <c r="D24" s="3" t="s">
        <v>14</v>
      </c>
      <c r="E24" s="2" t="s">
        <v>17</v>
      </c>
      <c r="F24">
        <v>1</v>
      </c>
    </row>
    <row r="25" spans="2:6">
      <c r="B25">
        <v>1</v>
      </c>
      <c r="C25" t="s">
        <v>203</v>
      </c>
      <c r="D25" s="3" t="s">
        <v>14</v>
      </c>
      <c r="E25" s="2" t="s">
        <v>18</v>
      </c>
      <c r="F25">
        <v>1</v>
      </c>
    </row>
    <row r="26" spans="2:6">
      <c r="B26">
        <v>1</v>
      </c>
      <c r="C26" t="s">
        <v>203</v>
      </c>
      <c r="D26" s="3" t="s">
        <v>14</v>
      </c>
      <c r="E26" s="2" t="s">
        <v>19</v>
      </c>
      <c r="F26">
        <v>1</v>
      </c>
    </row>
    <row r="27" spans="2:6">
      <c r="B27">
        <v>1</v>
      </c>
      <c r="C27" t="s">
        <v>203</v>
      </c>
      <c r="D27" s="3" t="s">
        <v>14</v>
      </c>
      <c r="E27" s="2" t="s">
        <v>20</v>
      </c>
      <c r="F27">
        <v>1</v>
      </c>
    </row>
    <row r="28" spans="2:6">
      <c r="B28">
        <v>1</v>
      </c>
      <c r="C28" t="s">
        <v>203</v>
      </c>
      <c r="D28" s="3" t="s">
        <v>14</v>
      </c>
      <c r="E28" s="2" t="s">
        <v>21</v>
      </c>
      <c r="F28">
        <v>1</v>
      </c>
    </row>
    <row r="29" spans="2:6">
      <c r="B29">
        <v>1</v>
      </c>
      <c r="C29" t="s">
        <v>203</v>
      </c>
      <c r="D29" s="3" t="s">
        <v>14</v>
      </c>
      <c r="E29" s="2" t="s">
        <v>22</v>
      </c>
      <c r="F29">
        <v>1</v>
      </c>
    </row>
    <row r="30" spans="2:6">
      <c r="B30">
        <v>1</v>
      </c>
      <c r="C30" t="s">
        <v>203</v>
      </c>
      <c r="D30" s="3" t="s">
        <v>14</v>
      </c>
      <c r="E30" s="2" t="s">
        <v>23</v>
      </c>
      <c r="F30">
        <v>1</v>
      </c>
    </row>
    <row r="31" spans="2:6">
      <c r="B31">
        <v>1</v>
      </c>
      <c r="C31" t="s">
        <v>203</v>
      </c>
      <c r="D31" s="3" t="s">
        <v>14</v>
      </c>
      <c r="E31" s="2" t="s">
        <v>24</v>
      </c>
      <c r="F31">
        <v>1</v>
      </c>
    </row>
    <row r="32" spans="2:6">
      <c r="B32">
        <v>1</v>
      </c>
      <c r="C32" t="s">
        <v>203</v>
      </c>
      <c r="D32" s="3" t="s">
        <v>14</v>
      </c>
      <c r="E32" s="2" t="s">
        <v>25</v>
      </c>
      <c r="F32">
        <v>1</v>
      </c>
    </row>
    <row r="33" spans="2:6">
      <c r="B33">
        <v>1</v>
      </c>
      <c r="C33" t="s">
        <v>203</v>
      </c>
      <c r="D33" s="3" t="s">
        <v>14</v>
      </c>
      <c r="E33" s="2" t="s">
        <v>26</v>
      </c>
      <c r="F33">
        <v>1</v>
      </c>
    </row>
    <row r="34" spans="2:6">
      <c r="B34">
        <v>1</v>
      </c>
      <c r="C34" t="s">
        <v>203</v>
      </c>
      <c r="D34" s="3" t="s">
        <v>14</v>
      </c>
      <c r="E34" s="2" t="s">
        <v>27</v>
      </c>
      <c r="F34">
        <v>1</v>
      </c>
    </row>
    <row r="36" spans="2:6">
      <c r="B36">
        <v>1</v>
      </c>
      <c r="C36" t="s">
        <v>203</v>
      </c>
      <c r="D36" s="3" t="s">
        <v>28</v>
      </c>
      <c r="E36" s="2" t="s">
        <v>29</v>
      </c>
      <c r="F36">
        <v>2</v>
      </c>
    </row>
    <row r="37" spans="2:6">
      <c r="B37">
        <v>1</v>
      </c>
      <c r="C37" t="s">
        <v>203</v>
      </c>
      <c r="D37" s="3" t="s">
        <v>28</v>
      </c>
      <c r="E37" s="2" t="s">
        <v>30</v>
      </c>
      <c r="F37">
        <v>2</v>
      </c>
    </row>
    <row r="38" spans="2:6">
      <c r="B38">
        <v>1</v>
      </c>
      <c r="C38" t="s">
        <v>203</v>
      </c>
      <c r="D38" s="3" t="s">
        <v>28</v>
      </c>
      <c r="E38" s="2" t="s">
        <v>31</v>
      </c>
      <c r="F38">
        <v>2</v>
      </c>
    </row>
    <row r="39" spans="2:6">
      <c r="B39">
        <v>1</v>
      </c>
      <c r="C39" t="s">
        <v>203</v>
      </c>
      <c r="D39" s="3" t="s">
        <v>28</v>
      </c>
      <c r="E39" s="2" t="s">
        <v>32</v>
      </c>
      <c r="F39">
        <v>2</v>
      </c>
    </row>
    <row r="40" spans="2:6">
      <c r="B40">
        <v>1</v>
      </c>
      <c r="C40" t="s">
        <v>203</v>
      </c>
      <c r="D40" s="3" t="s">
        <v>28</v>
      </c>
      <c r="E40" s="2" t="s">
        <v>33</v>
      </c>
      <c r="F40">
        <v>2</v>
      </c>
    </row>
    <row r="42" spans="2:6">
      <c r="B42">
        <v>2</v>
      </c>
      <c r="C42" t="s">
        <v>201</v>
      </c>
      <c r="D42" s="3" t="s">
        <v>34</v>
      </c>
      <c r="E42" s="2" t="s">
        <v>35</v>
      </c>
      <c r="F42">
        <v>2</v>
      </c>
    </row>
    <row r="43" spans="2:6">
      <c r="B43">
        <v>2</v>
      </c>
      <c r="C43" t="s">
        <v>201</v>
      </c>
      <c r="D43" s="3" t="s">
        <v>34</v>
      </c>
      <c r="E43" s="2" t="s">
        <v>36</v>
      </c>
      <c r="F43">
        <v>2</v>
      </c>
    </row>
    <row r="44" spans="2:6">
      <c r="B44">
        <v>2</v>
      </c>
      <c r="C44" t="s">
        <v>201</v>
      </c>
      <c r="D44" s="3" t="s">
        <v>34</v>
      </c>
      <c r="E44" s="2" t="s">
        <v>37</v>
      </c>
      <c r="F44">
        <v>2</v>
      </c>
    </row>
    <row r="45" spans="2:6">
      <c r="B45">
        <v>2</v>
      </c>
      <c r="C45" t="s">
        <v>201</v>
      </c>
      <c r="D45" s="3" t="s">
        <v>34</v>
      </c>
      <c r="E45" s="2" t="s">
        <v>38</v>
      </c>
      <c r="F45">
        <v>2</v>
      </c>
    </row>
    <row r="46" spans="2:6">
      <c r="B46">
        <v>2</v>
      </c>
      <c r="C46" t="s">
        <v>201</v>
      </c>
      <c r="D46" s="3" t="s">
        <v>34</v>
      </c>
      <c r="E46" s="2" t="s">
        <v>39</v>
      </c>
      <c r="F46">
        <v>2</v>
      </c>
    </row>
    <row r="47" spans="2:6">
      <c r="B47">
        <v>2</v>
      </c>
      <c r="C47" t="s">
        <v>201</v>
      </c>
      <c r="D47" s="3" t="s">
        <v>34</v>
      </c>
      <c r="E47" s="2" t="s">
        <v>40</v>
      </c>
      <c r="F47">
        <v>2</v>
      </c>
    </row>
    <row r="48" spans="2:6">
      <c r="B48">
        <v>2</v>
      </c>
      <c r="C48" t="s">
        <v>201</v>
      </c>
      <c r="D48" s="3" t="s">
        <v>34</v>
      </c>
      <c r="E48" s="2" t="s">
        <v>41</v>
      </c>
      <c r="F48">
        <v>2</v>
      </c>
    </row>
    <row r="50" spans="2:6">
      <c r="B50">
        <v>2</v>
      </c>
      <c r="C50" t="s">
        <v>201</v>
      </c>
      <c r="D50" s="3" t="s">
        <v>42</v>
      </c>
      <c r="E50" s="2" t="s">
        <v>43</v>
      </c>
      <c r="F50">
        <v>2</v>
      </c>
    </row>
    <row r="51" spans="2:6">
      <c r="B51">
        <v>2</v>
      </c>
      <c r="C51" t="s">
        <v>201</v>
      </c>
      <c r="D51" s="3" t="s">
        <v>42</v>
      </c>
      <c r="E51" s="2" t="s">
        <v>44</v>
      </c>
      <c r="F51">
        <v>2</v>
      </c>
    </row>
    <row r="52" spans="2:6">
      <c r="B52">
        <v>2</v>
      </c>
      <c r="C52" t="s">
        <v>201</v>
      </c>
      <c r="D52" s="3" t="s">
        <v>42</v>
      </c>
      <c r="E52" s="2" t="s">
        <v>45</v>
      </c>
      <c r="F52">
        <v>2</v>
      </c>
    </row>
    <row r="53" spans="2:6">
      <c r="B53">
        <v>2</v>
      </c>
      <c r="C53" t="s">
        <v>201</v>
      </c>
      <c r="D53" s="3" t="s">
        <v>42</v>
      </c>
      <c r="E53" s="2" t="s">
        <v>46</v>
      </c>
      <c r="F53">
        <v>2</v>
      </c>
    </row>
    <row r="54" spans="2:6">
      <c r="B54">
        <v>2</v>
      </c>
      <c r="C54" t="s">
        <v>201</v>
      </c>
      <c r="D54" s="3" t="s">
        <v>42</v>
      </c>
      <c r="E54" s="2" t="s">
        <v>47</v>
      </c>
      <c r="F54">
        <v>2</v>
      </c>
    </row>
    <row r="55" spans="2:6">
      <c r="B55">
        <v>2</v>
      </c>
      <c r="C55" t="s">
        <v>201</v>
      </c>
      <c r="D55" s="3" t="s">
        <v>42</v>
      </c>
      <c r="E55" s="2" t="s">
        <v>48</v>
      </c>
      <c r="F55">
        <v>2</v>
      </c>
    </row>
    <row r="57" spans="2:6">
      <c r="B57">
        <v>2</v>
      </c>
      <c r="C57" t="s">
        <v>202</v>
      </c>
      <c r="D57" s="3" t="s">
        <v>49</v>
      </c>
      <c r="E57" s="2" t="s">
        <v>185</v>
      </c>
      <c r="F57">
        <v>2</v>
      </c>
    </row>
    <row r="58" spans="2:6">
      <c r="B58">
        <v>2</v>
      </c>
      <c r="C58" t="s">
        <v>202</v>
      </c>
      <c r="D58" s="3" t="s">
        <v>49</v>
      </c>
      <c r="E58" s="2" t="s">
        <v>50</v>
      </c>
      <c r="F58">
        <v>2</v>
      </c>
    </row>
    <row r="59" spans="2:6">
      <c r="B59">
        <v>2</v>
      </c>
      <c r="C59" t="s">
        <v>202</v>
      </c>
      <c r="D59" s="3" t="s">
        <v>49</v>
      </c>
      <c r="E59" s="2" t="s">
        <v>51</v>
      </c>
      <c r="F59">
        <v>2</v>
      </c>
    </row>
    <row r="60" spans="2:6">
      <c r="B60">
        <v>2</v>
      </c>
      <c r="C60" t="s">
        <v>202</v>
      </c>
      <c r="D60" s="3" t="s">
        <v>49</v>
      </c>
      <c r="E60" s="2" t="s">
        <v>52</v>
      </c>
      <c r="F60">
        <v>2</v>
      </c>
    </row>
    <row r="61" spans="2:6">
      <c r="B61">
        <v>2</v>
      </c>
      <c r="C61" t="s">
        <v>202</v>
      </c>
      <c r="D61" s="3" t="s">
        <v>49</v>
      </c>
      <c r="E61" s="2" t="s">
        <v>53</v>
      </c>
      <c r="F61">
        <v>2</v>
      </c>
    </row>
    <row r="62" spans="2:6">
      <c r="B62">
        <v>2</v>
      </c>
      <c r="C62" t="s">
        <v>202</v>
      </c>
      <c r="D62" s="3" t="s">
        <v>49</v>
      </c>
      <c r="E62" s="2" t="s">
        <v>54</v>
      </c>
      <c r="F62">
        <v>2</v>
      </c>
    </row>
    <row r="64" spans="2:6">
      <c r="B64">
        <v>2</v>
      </c>
      <c r="C64" t="s">
        <v>202</v>
      </c>
      <c r="D64" s="3" t="s">
        <v>55</v>
      </c>
      <c r="E64" s="2" t="s">
        <v>56</v>
      </c>
      <c r="F64">
        <v>2</v>
      </c>
    </row>
    <row r="65" spans="2:6">
      <c r="B65">
        <v>2</v>
      </c>
      <c r="C65" t="s">
        <v>202</v>
      </c>
      <c r="D65" s="3" t="s">
        <v>55</v>
      </c>
      <c r="E65" s="2" t="s">
        <v>186</v>
      </c>
      <c r="F65">
        <v>2</v>
      </c>
    </row>
    <row r="66" spans="2:6">
      <c r="B66">
        <v>2</v>
      </c>
      <c r="C66" t="s">
        <v>202</v>
      </c>
      <c r="D66" s="3" t="s">
        <v>55</v>
      </c>
      <c r="E66" s="2" t="s">
        <v>57</v>
      </c>
      <c r="F66">
        <v>2</v>
      </c>
    </row>
    <row r="67" spans="2:6">
      <c r="B67">
        <v>2</v>
      </c>
      <c r="C67" t="s">
        <v>202</v>
      </c>
      <c r="D67" s="3" t="s">
        <v>55</v>
      </c>
      <c r="E67" s="2" t="s">
        <v>58</v>
      </c>
      <c r="F67">
        <v>2</v>
      </c>
    </row>
    <row r="68" spans="2:6">
      <c r="B68">
        <v>2</v>
      </c>
      <c r="C68" t="s">
        <v>202</v>
      </c>
      <c r="D68" s="3" t="s">
        <v>55</v>
      </c>
      <c r="E68" s="2" t="s">
        <v>59</v>
      </c>
      <c r="F68">
        <v>2</v>
      </c>
    </row>
    <row r="69" spans="2:6">
      <c r="B69">
        <v>2</v>
      </c>
      <c r="C69" t="s">
        <v>202</v>
      </c>
      <c r="D69" s="3" t="s">
        <v>55</v>
      </c>
      <c r="E69" s="2" t="s">
        <v>60</v>
      </c>
      <c r="F69">
        <v>2</v>
      </c>
    </row>
    <row r="71" spans="2:6">
      <c r="B71">
        <v>2</v>
      </c>
      <c r="C71" t="s">
        <v>203</v>
      </c>
      <c r="D71" s="3" t="s">
        <v>61</v>
      </c>
      <c r="E71" s="2" t="s">
        <v>62</v>
      </c>
      <c r="F71">
        <v>2</v>
      </c>
    </row>
    <row r="72" spans="2:6">
      <c r="B72">
        <v>2</v>
      </c>
      <c r="C72" t="s">
        <v>203</v>
      </c>
      <c r="D72" s="3" t="s">
        <v>61</v>
      </c>
      <c r="E72" s="2" t="s">
        <v>63</v>
      </c>
      <c r="F72">
        <v>2</v>
      </c>
    </row>
    <row r="73" spans="2:6">
      <c r="B73">
        <v>2</v>
      </c>
      <c r="C73" t="s">
        <v>203</v>
      </c>
      <c r="D73" s="3" t="s">
        <v>61</v>
      </c>
      <c r="E73" s="2" t="s">
        <v>64</v>
      </c>
      <c r="F73">
        <v>2</v>
      </c>
    </row>
    <row r="74" spans="2:6">
      <c r="B74">
        <v>2</v>
      </c>
      <c r="C74" t="s">
        <v>203</v>
      </c>
      <c r="D74" s="3" t="s">
        <v>61</v>
      </c>
      <c r="E74" s="2" t="s">
        <v>65</v>
      </c>
      <c r="F74">
        <v>2</v>
      </c>
    </row>
    <row r="75" spans="2:6">
      <c r="B75">
        <v>2</v>
      </c>
      <c r="C75" t="s">
        <v>203</v>
      </c>
      <c r="D75" s="3" t="s">
        <v>61</v>
      </c>
      <c r="E75" s="2" t="s">
        <v>66</v>
      </c>
      <c r="F75">
        <v>2</v>
      </c>
    </row>
    <row r="76" spans="2:6">
      <c r="B76">
        <v>2</v>
      </c>
      <c r="C76" t="s">
        <v>203</v>
      </c>
      <c r="D76" s="3" t="s">
        <v>61</v>
      </c>
      <c r="E76" s="2" t="s">
        <v>67</v>
      </c>
      <c r="F76">
        <v>2</v>
      </c>
    </row>
    <row r="77" spans="2:6">
      <c r="B77">
        <v>2</v>
      </c>
      <c r="C77" t="s">
        <v>203</v>
      </c>
      <c r="D77" s="3" t="s">
        <v>61</v>
      </c>
      <c r="E77" s="2" t="s">
        <v>68</v>
      </c>
      <c r="F77">
        <v>2</v>
      </c>
    </row>
    <row r="78" spans="2:6">
      <c r="B78">
        <v>2</v>
      </c>
      <c r="C78" t="s">
        <v>203</v>
      </c>
      <c r="D78" s="3" t="s">
        <v>61</v>
      </c>
      <c r="E78" s="2" t="s">
        <v>69</v>
      </c>
      <c r="F78">
        <v>2</v>
      </c>
    </row>
    <row r="80" spans="2:6">
      <c r="B80">
        <v>3</v>
      </c>
      <c r="C80" t="s">
        <v>201</v>
      </c>
      <c r="D80" s="3" t="s">
        <v>70</v>
      </c>
      <c r="E80" s="2" t="s">
        <v>71</v>
      </c>
      <c r="F80">
        <v>3</v>
      </c>
    </row>
    <row r="81" spans="2:6">
      <c r="B81">
        <v>3</v>
      </c>
      <c r="C81" t="s">
        <v>201</v>
      </c>
      <c r="D81" s="3" t="s">
        <v>70</v>
      </c>
      <c r="E81" s="2" t="s">
        <v>72</v>
      </c>
      <c r="F81">
        <v>3</v>
      </c>
    </row>
    <row r="82" spans="2:6">
      <c r="B82">
        <v>3</v>
      </c>
      <c r="C82" t="s">
        <v>201</v>
      </c>
      <c r="D82" s="3" t="s">
        <v>70</v>
      </c>
      <c r="E82" s="2" t="s">
        <v>73</v>
      </c>
      <c r="F82">
        <v>3</v>
      </c>
    </row>
    <row r="83" spans="2:6">
      <c r="B83">
        <v>3</v>
      </c>
      <c r="C83" t="s">
        <v>201</v>
      </c>
      <c r="D83" s="3" t="s">
        <v>70</v>
      </c>
      <c r="E83" s="2" t="s">
        <v>74</v>
      </c>
      <c r="F83">
        <v>3</v>
      </c>
    </row>
    <row r="85" spans="2:6">
      <c r="B85">
        <v>3</v>
      </c>
      <c r="C85" t="s">
        <v>201</v>
      </c>
      <c r="D85" s="3" t="s">
        <v>75</v>
      </c>
      <c r="E85" s="2" t="s">
        <v>76</v>
      </c>
      <c r="F85">
        <v>3</v>
      </c>
    </row>
    <row r="86" spans="2:6">
      <c r="B86">
        <v>3</v>
      </c>
      <c r="C86" t="s">
        <v>201</v>
      </c>
      <c r="D86" s="3" t="s">
        <v>75</v>
      </c>
      <c r="E86" s="2" t="s">
        <v>77</v>
      </c>
      <c r="F86">
        <v>3</v>
      </c>
    </row>
    <row r="87" spans="2:6">
      <c r="B87">
        <v>3</v>
      </c>
      <c r="C87" t="s">
        <v>201</v>
      </c>
      <c r="D87" s="3" t="s">
        <v>75</v>
      </c>
      <c r="E87" s="2" t="s">
        <v>78</v>
      </c>
      <c r="F87">
        <v>3</v>
      </c>
    </row>
    <row r="88" spans="2:6">
      <c r="B88">
        <v>3</v>
      </c>
      <c r="C88" t="s">
        <v>201</v>
      </c>
      <c r="D88" s="3" t="s">
        <v>75</v>
      </c>
      <c r="E88" s="2" t="s">
        <v>79</v>
      </c>
      <c r="F88">
        <v>3</v>
      </c>
    </row>
    <row r="89" spans="2:6">
      <c r="B89">
        <v>3</v>
      </c>
      <c r="C89" t="s">
        <v>201</v>
      </c>
      <c r="D89" s="3" t="s">
        <v>75</v>
      </c>
      <c r="E89" s="2" t="s">
        <v>80</v>
      </c>
      <c r="F89">
        <v>3</v>
      </c>
    </row>
    <row r="90" spans="2:6">
      <c r="B90">
        <v>3</v>
      </c>
      <c r="C90" t="s">
        <v>201</v>
      </c>
      <c r="D90" s="3" t="s">
        <v>75</v>
      </c>
      <c r="E90" s="2" t="s">
        <v>81</v>
      </c>
      <c r="F90">
        <v>3</v>
      </c>
    </row>
    <row r="91" spans="2:6">
      <c r="B91">
        <v>3</v>
      </c>
      <c r="C91" t="s">
        <v>201</v>
      </c>
      <c r="D91" s="3" t="s">
        <v>75</v>
      </c>
      <c r="E91" s="2" t="s">
        <v>82</v>
      </c>
      <c r="F91">
        <v>3</v>
      </c>
    </row>
    <row r="92" spans="2:6">
      <c r="B92">
        <v>3</v>
      </c>
      <c r="C92" t="s">
        <v>201</v>
      </c>
      <c r="D92" s="3" t="s">
        <v>75</v>
      </c>
      <c r="E92" s="2" t="s">
        <v>83</v>
      </c>
      <c r="F92">
        <v>3</v>
      </c>
    </row>
    <row r="93" spans="2:6">
      <c r="B93">
        <v>3</v>
      </c>
      <c r="C93" t="s">
        <v>201</v>
      </c>
      <c r="D93" s="3" t="s">
        <v>75</v>
      </c>
      <c r="E93" s="2" t="s">
        <v>84</v>
      </c>
      <c r="F93">
        <v>3</v>
      </c>
    </row>
    <row r="94" spans="2:6">
      <c r="B94">
        <v>3</v>
      </c>
      <c r="C94" t="s">
        <v>201</v>
      </c>
      <c r="D94" s="3" t="s">
        <v>75</v>
      </c>
      <c r="E94" s="2" t="s">
        <v>85</v>
      </c>
      <c r="F94">
        <v>3</v>
      </c>
    </row>
    <row r="95" spans="2:6">
      <c r="B95">
        <v>3</v>
      </c>
      <c r="C95" t="s">
        <v>201</v>
      </c>
      <c r="D95" s="3" t="s">
        <v>75</v>
      </c>
      <c r="E95" s="2" t="s">
        <v>86</v>
      </c>
      <c r="F95">
        <v>3</v>
      </c>
    </row>
    <row r="97" spans="2:6">
      <c r="B97">
        <v>3</v>
      </c>
      <c r="C97" t="s">
        <v>203</v>
      </c>
      <c r="D97" s="3" t="s">
        <v>87</v>
      </c>
      <c r="E97" s="2" t="s">
        <v>88</v>
      </c>
      <c r="F97">
        <v>3</v>
      </c>
    </row>
    <row r="98" spans="2:6">
      <c r="B98">
        <v>3</v>
      </c>
      <c r="C98" t="s">
        <v>203</v>
      </c>
      <c r="D98" s="3" t="s">
        <v>87</v>
      </c>
      <c r="E98" s="2" t="s">
        <v>89</v>
      </c>
      <c r="F98">
        <v>3</v>
      </c>
    </row>
    <row r="99" spans="2:6">
      <c r="B99">
        <v>3</v>
      </c>
      <c r="C99" t="s">
        <v>203</v>
      </c>
      <c r="D99" s="3" t="s">
        <v>87</v>
      </c>
      <c r="E99" s="2" t="s">
        <v>90</v>
      </c>
      <c r="F99">
        <v>3</v>
      </c>
    </row>
    <row r="100" spans="2:6">
      <c r="B100">
        <v>3</v>
      </c>
      <c r="C100" t="s">
        <v>203</v>
      </c>
      <c r="D100" s="3" t="s">
        <v>87</v>
      </c>
      <c r="E100" s="2" t="s">
        <v>91</v>
      </c>
      <c r="F100">
        <v>3</v>
      </c>
    </row>
    <row r="101" spans="2:6">
      <c r="B101">
        <v>3</v>
      </c>
      <c r="C101" t="s">
        <v>203</v>
      </c>
      <c r="D101" s="3" t="s">
        <v>87</v>
      </c>
      <c r="E101" s="2" t="s">
        <v>92</v>
      </c>
      <c r="F101">
        <v>3</v>
      </c>
    </row>
    <row r="102" spans="2:6">
      <c r="B102">
        <v>3</v>
      </c>
      <c r="C102" t="s">
        <v>203</v>
      </c>
      <c r="D102" s="3" t="s">
        <v>87</v>
      </c>
      <c r="E102" s="2" t="s">
        <v>93</v>
      </c>
      <c r="F102">
        <v>3</v>
      </c>
    </row>
    <row r="103" spans="2:6">
      <c r="B103">
        <v>3</v>
      </c>
      <c r="C103" t="s">
        <v>203</v>
      </c>
      <c r="D103" s="3" t="s">
        <v>87</v>
      </c>
      <c r="E103" s="2" t="s">
        <v>94</v>
      </c>
      <c r="F103">
        <v>3</v>
      </c>
    </row>
    <row r="104" spans="2:6">
      <c r="B104">
        <v>3</v>
      </c>
      <c r="C104" t="s">
        <v>203</v>
      </c>
      <c r="D104" s="3" t="s">
        <v>87</v>
      </c>
      <c r="E104" s="2" t="s">
        <v>95</v>
      </c>
      <c r="F104">
        <v>3</v>
      </c>
    </row>
    <row r="105" spans="2:6">
      <c r="B105">
        <v>3</v>
      </c>
      <c r="C105" t="s">
        <v>203</v>
      </c>
      <c r="D105" s="3" t="s">
        <v>87</v>
      </c>
      <c r="E105" s="2" t="s">
        <v>96</v>
      </c>
      <c r="F105">
        <v>3</v>
      </c>
    </row>
    <row r="106" spans="2:6">
      <c r="B106">
        <v>3</v>
      </c>
      <c r="C106" t="s">
        <v>203</v>
      </c>
      <c r="D106" s="3" t="s">
        <v>87</v>
      </c>
      <c r="E106" s="2" t="s">
        <v>97</v>
      </c>
      <c r="F106">
        <v>3</v>
      </c>
    </row>
    <row r="108" spans="2:6">
      <c r="B108">
        <v>3</v>
      </c>
      <c r="C108" t="s">
        <v>203</v>
      </c>
      <c r="D108" s="3" t="s">
        <v>98</v>
      </c>
      <c r="E108" s="2" t="s">
        <v>99</v>
      </c>
      <c r="F108">
        <v>3</v>
      </c>
    </row>
    <row r="109" spans="2:6">
      <c r="B109">
        <v>3</v>
      </c>
      <c r="C109" t="s">
        <v>203</v>
      </c>
      <c r="D109" s="3" t="s">
        <v>98</v>
      </c>
      <c r="E109" s="2" t="s">
        <v>100</v>
      </c>
      <c r="F109">
        <v>3</v>
      </c>
    </row>
    <row r="110" spans="2:6">
      <c r="B110">
        <v>3</v>
      </c>
      <c r="C110" t="s">
        <v>203</v>
      </c>
      <c r="D110" s="3" t="s">
        <v>98</v>
      </c>
      <c r="E110" s="2" t="s">
        <v>101</v>
      </c>
      <c r="F110">
        <v>3</v>
      </c>
    </row>
    <row r="111" spans="2:6">
      <c r="B111">
        <v>3</v>
      </c>
      <c r="C111" t="s">
        <v>203</v>
      </c>
      <c r="D111" s="3" t="s">
        <v>98</v>
      </c>
      <c r="E111" s="2" t="s">
        <v>102</v>
      </c>
      <c r="F111">
        <v>3</v>
      </c>
    </row>
    <row r="112" spans="2:6">
      <c r="B112">
        <v>3</v>
      </c>
      <c r="C112" t="s">
        <v>203</v>
      </c>
      <c r="D112" s="3" t="s">
        <v>98</v>
      </c>
      <c r="E112" s="2" t="s">
        <v>103</v>
      </c>
      <c r="F112">
        <v>3</v>
      </c>
    </row>
    <row r="114" spans="2:6">
      <c r="B114">
        <v>3</v>
      </c>
      <c r="C114" t="s">
        <v>203</v>
      </c>
      <c r="D114" s="3" t="s">
        <v>104</v>
      </c>
      <c r="E114" s="2" t="s">
        <v>105</v>
      </c>
      <c r="F114">
        <v>3</v>
      </c>
    </row>
    <row r="115" spans="2:6">
      <c r="B115">
        <v>3</v>
      </c>
      <c r="C115" t="s">
        <v>203</v>
      </c>
      <c r="D115" s="3" t="s">
        <v>104</v>
      </c>
      <c r="E115" s="2" t="s">
        <v>106</v>
      </c>
      <c r="F115">
        <v>3</v>
      </c>
    </row>
    <row r="116" spans="2:6">
      <c r="B116">
        <v>3</v>
      </c>
      <c r="C116" t="s">
        <v>203</v>
      </c>
      <c r="D116" s="3" t="s">
        <v>104</v>
      </c>
      <c r="E116" s="2" t="s">
        <v>107</v>
      </c>
      <c r="F116">
        <v>3</v>
      </c>
    </row>
    <row r="118" spans="2:6">
      <c r="B118">
        <v>4</v>
      </c>
      <c r="D118" s="3" t="s">
        <v>108</v>
      </c>
      <c r="E118" s="2" t="s">
        <v>109</v>
      </c>
    </row>
    <row r="119" spans="2:6">
      <c r="B119">
        <v>4</v>
      </c>
      <c r="D119" s="3" t="s">
        <v>108</v>
      </c>
      <c r="E119" s="2" t="s">
        <v>187</v>
      </c>
    </row>
    <row r="120" spans="2:6">
      <c r="B120">
        <v>4</v>
      </c>
      <c r="D120" s="3" t="s">
        <v>108</v>
      </c>
      <c r="E120" s="2" t="s">
        <v>110</v>
      </c>
    </row>
    <row r="121" spans="2:6">
      <c r="B121">
        <v>4</v>
      </c>
      <c r="D121" s="3" t="s">
        <v>108</v>
      </c>
      <c r="E121" s="2" t="s">
        <v>111</v>
      </c>
    </row>
    <row r="122" spans="2:6">
      <c r="B122">
        <v>4</v>
      </c>
      <c r="D122" s="3" t="s">
        <v>108</v>
      </c>
      <c r="E122" s="2" t="s">
        <v>112</v>
      </c>
    </row>
    <row r="123" spans="2:6">
      <c r="B123">
        <v>4</v>
      </c>
      <c r="D123" s="3" t="s">
        <v>108</v>
      </c>
      <c r="E123" s="2" t="s">
        <v>113</v>
      </c>
    </row>
    <row r="125" spans="2:6">
      <c r="B125">
        <v>4</v>
      </c>
      <c r="D125" s="3" t="s">
        <v>114</v>
      </c>
      <c r="E125" s="2" t="s">
        <v>115</v>
      </c>
    </row>
    <row r="126" spans="2:6">
      <c r="B126">
        <v>4</v>
      </c>
      <c r="D126" s="3" t="s">
        <v>114</v>
      </c>
      <c r="E126" s="2" t="s">
        <v>116</v>
      </c>
    </row>
    <row r="127" spans="2:6">
      <c r="B127">
        <v>4</v>
      </c>
      <c r="D127" s="3" t="s">
        <v>114</v>
      </c>
      <c r="E127" s="2" t="s">
        <v>117</v>
      </c>
    </row>
    <row r="128" spans="2:6">
      <c r="B128">
        <v>4</v>
      </c>
      <c r="D128" s="3" t="s">
        <v>114</v>
      </c>
      <c r="E128" s="2" t="s">
        <v>118</v>
      </c>
    </row>
    <row r="129" spans="2:5">
      <c r="B129">
        <v>4</v>
      </c>
      <c r="D129" s="3" t="s">
        <v>114</v>
      </c>
      <c r="E129" s="2" t="s">
        <v>119</v>
      </c>
    </row>
    <row r="130" spans="2:5">
      <c r="B130">
        <v>4</v>
      </c>
      <c r="D130" s="3" t="s">
        <v>114</v>
      </c>
      <c r="E130" s="2" t="s">
        <v>120</v>
      </c>
    </row>
    <row r="131" spans="2:5">
      <c r="B131">
        <v>4</v>
      </c>
      <c r="D131" s="3" t="s">
        <v>114</v>
      </c>
      <c r="E131" s="2" t="s">
        <v>121</v>
      </c>
    </row>
    <row r="132" spans="2:5">
      <c r="B132">
        <v>4</v>
      </c>
      <c r="D132" s="3" t="s">
        <v>114</v>
      </c>
      <c r="E132" s="2" t="s">
        <v>122</v>
      </c>
    </row>
    <row r="133" spans="2:5">
      <c r="B133">
        <v>4</v>
      </c>
      <c r="D133" s="3" t="s">
        <v>114</v>
      </c>
      <c r="E133" s="2" t="s">
        <v>123</v>
      </c>
    </row>
    <row r="134" spans="2:5">
      <c r="B134">
        <v>4</v>
      </c>
      <c r="D134" s="3" t="s">
        <v>114</v>
      </c>
      <c r="E134" s="2" t="s">
        <v>124</v>
      </c>
    </row>
    <row r="135" spans="2:5">
      <c r="B135">
        <v>4</v>
      </c>
      <c r="D135" s="3" t="s">
        <v>114</v>
      </c>
      <c r="E135" s="2" t="s">
        <v>125</v>
      </c>
    </row>
    <row r="137" spans="2:5">
      <c r="B137">
        <v>4</v>
      </c>
      <c r="D137" s="3" t="s">
        <v>126</v>
      </c>
      <c r="E137" s="2" t="s">
        <v>127</v>
      </c>
    </row>
    <row r="138" spans="2:5">
      <c r="B138">
        <v>4</v>
      </c>
      <c r="D138" s="3" t="s">
        <v>126</v>
      </c>
      <c r="E138" s="2" t="s">
        <v>128</v>
      </c>
    </row>
    <row r="139" spans="2:5">
      <c r="B139">
        <v>4</v>
      </c>
      <c r="D139" s="3" t="s">
        <v>126</v>
      </c>
      <c r="E139" s="2" t="s">
        <v>129</v>
      </c>
    </row>
    <row r="140" spans="2:5">
      <c r="B140">
        <v>4</v>
      </c>
      <c r="D140" s="3" t="s">
        <v>126</v>
      </c>
      <c r="E140" s="2" t="s">
        <v>130</v>
      </c>
    </row>
    <row r="142" spans="2:5">
      <c r="B142">
        <v>4</v>
      </c>
      <c r="D142" s="3" t="s">
        <v>131</v>
      </c>
      <c r="E142" s="2" t="s">
        <v>132</v>
      </c>
    </row>
    <row r="143" spans="2:5">
      <c r="B143">
        <v>4</v>
      </c>
      <c r="D143" s="3" t="s">
        <v>131</v>
      </c>
      <c r="E143" s="2" t="s">
        <v>133</v>
      </c>
    </row>
    <row r="144" spans="2:5">
      <c r="B144">
        <v>4</v>
      </c>
      <c r="D144" s="3" t="s">
        <v>131</v>
      </c>
      <c r="E144" s="2" t="s">
        <v>134</v>
      </c>
    </row>
    <row r="145" spans="2:5">
      <c r="B145">
        <v>4</v>
      </c>
      <c r="D145" s="3" t="s">
        <v>131</v>
      </c>
      <c r="E145" s="2" t="s">
        <v>135</v>
      </c>
    </row>
    <row r="146" spans="2:5">
      <c r="B146">
        <v>4</v>
      </c>
      <c r="D146" s="3" t="s">
        <v>131</v>
      </c>
      <c r="E146" s="2" t="s">
        <v>136</v>
      </c>
    </row>
    <row r="147" spans="2:5">
      <c r="B147">
        <v>4</v>
      </c>
      <c r="D147" s="3" t="s">
        <v>131</v>
      </c>
      <c r="E147" s="2" t="s">
        <v>137</v>
      </c>
    </row>
    <row r="148" spans="2:5">
      <c r="B148">
        <v>4</v>
      </c>
      <c r="D148" s="3" t="s">
        <v>131</v>
      </c>
      <c r="E148" s="2" t="s">
        <v>138</v>
      </c>
    </row>
    <row r="150" spans="2:5">
      <c r="B150">
        <v>4</v>
      </c>
      <c r="D150" s="3" t="s">
        <v>139</v>
      </c>
      <c r="E150" s="2" t="s">
        <v>140</v>
      </c>
    </row>
    <row r="151" spans="2:5">
      <c r="B151">
        <v>4</v>
      </c>
      <c r="D151" s="3" t="s">
        <v>139</v>
      </c>
      <c r="E151" s="2" t="s">
        <v>141</v>
      </c>
    </row>
    <row r="152" spans="2:5">
      <c r="B152">
        <v>4</v>
      </c>
      <c r="D152" s="3" t="s">
        <v>139</v>
      </c>
      <c r="E152" s="2" t="s">
        <v>142</v>
      </c>
    </row>
    <row r="153" spans="2:5">
      <c r="B153">
        <v>4</v>
      </c>
      <c r="D153" s="3" t="s">
        <v>139</v>
      </c>
      <c r="E153" s="2" t="s">
        <v>143</v>
      </c>
    </row>
    <row r="154" spans="2:5">
      <c r="B154">
        <v>4</v>
      </c>
      <c r="D154" s="3" t="s">
        <v>139</v>
      </c>
      <c r="E154" s="2" t="s">
        <v>144</v>
      </c>
    </row>
    <row r="155" spans="2:5">
      <c r="B155">
        <v>4</v>
      </c>
      <c r="D155" s="3" t="s">
        <v>139</v>
      </c>
      <c r="E155" s="2" t="s">
        <v>145</v>
      </c>
    </row>
    <row r="156" spans="2:5">
      <c r="B156">
        <v>4</v>
      </c>
      <c r="D156" s="3" t="s">
        <v>139</v>
      </c>
      <c r="E156" s="2" t="s">
        <v>146</v>
      </c>
    </row>
    <row r="157" spans="2:5">
      <c r="B157">
        <v>4</v>
      </c>
      <c r="D157" s="3" t="s">
        <v>139</v>
      </c>
      <c r="E157" s="2" t="s">
        <v>147</v>
      </c>
    </row>
    <row r="158" spans="2:5">
      <c r="B158">
        <v>4</v>
      </c>
      <c r="D158" s="3" t="s">
        <v>139</v>
      </c>
      <c r="E158" s="2" t="s">
        <v>148</v>
      </c>
    </row>
    <row r="159" spans="2:5">
      <c r="B159">
        <v>4</v>
      </c>
      <c r="D159" s="3" t="s">
        <v>139</v>
      </c>
      <c r="E159" s="2" t="s">
        <v>149</v>
      </c>
    </row>
    <row r="161" spans="2:5">
      <c r="B161">
        <v>5</v>
      </c>
      <c r="D161" s="3" t="s">
        <v>150</v>
      </c>
      <c r="E161" s="2" t="s">
        <v>151</v>
      </c>
    </row>
    <row r="162" spans="2:5">
      <c r="B162">
        <v>5</v>
      </c>
      <c r="D162" s="3" t="s">
        <v>150</v>
      </c>
      <c r="E162" s="2" t="s">
        <v>152</v>
      </c>
    </row>
    <row r="163" spans="2:5">
      <c r="B163">
        <v>5</v>
      </c>
      <c r="D163" s="3" t="s">
        <v>150</v>
      </c>
      <c r="E163" s="2" t="s">
        <v>153</v>
      </c>
    </row>
    <row r="164" spans="2:5">
      <c r="B164">
        <v>5</v>
      </c>
      <c r="D164" s="3" t="s">
        <v>150</v>
      </c>
      <c r="E164" s="2" t="s">
        <v>154</v>
      </c>
    </row>
    <row r="165" spans="2:5">
      <c r="B165">
        <v>5</v>
      </c>
      <c r="D165" s="3" t="s">
        <v>150</v>
      </c>
      <c r="E165" s="2" t="s">
        <v>155</v>
      </c>
    </row>
    <row r="166" spans="2:5">
      <c r="B166">
        <v>5</v>
      </c>
      <c r="D166" s="3" t="s">
        <v>150</v>
      </c>
      <c r="E166" s="2" t="s">
        <v>156</v>
      </c>
    </row>
    <row r="167" spans="2:5">
      <c r="B167">
        <v>5</v>
      </c>
      <c r="D167" s="3" t="s">
        <v>150</v>
      </c>
      <c r="E167" s="2" t="s">
        <v>157</v>
      </c>
    </row>
    <row r="169" spans="2:5">
      <c r="B169">
        <v>5</v>
      </c>
      <c r="D169" s="3" t="s">
        <v>158</v>
      </c>
      <c r="E169" s="2" t="s">
        <v>159</v>
      </c>
    </row>
    <row r="170" spans="2:5">
      <c r="B170">
        <v>5</v>
      </c>
      <c r="D170" s="3" t="s">
        <v>158</v>
      </c>
      <c r="E170" s="2" t="s">
        <v>160</v>
      </c>
    </row>
    <row r="171" spans="2:5">
      <c r="B171">
        <v>5</v>
      </c>
      <c r="D171" s="3" t="s">
        <v>158</v>
      </c>
      <c r="E171" s="2" t="s">
        <v>161</v>
      </c>
    </row>
    <row r="172" spans="2:5">
      <c r="B172">
        <v>5</v>
      </c>
      <c r="D172" s="3" t="s">
        <v>158</v>
      </c>
      <c r="E172" s="2" t="s">
        <v>162</v>
      </c>
    </row>
    <row r="173" spans="2:5">
      <c r="B173">
        <v>5</v>
      </c>
      <c r="D173" s="3" t="s">
        <v>158</v>
      </c>
      <c r="E173" s="2" t="s">
        <v>163</v>
      </c>
    </row>
    <row r="175" spans="2:5">
      <c r="B175">
        <v>5</v>
      </c>
      <c r="D175" s="3" t="s">
        <v>164</v>
      </c>
      <c r="E175" s="2" t="s">
        <v>165</v>
      </c>
    </row>
    <row r="176" spans="2:5">
      <c r="B176">
        <v>5</v>
      </c>
      <c r="D176" s="3" t="s">
        <v>164</v>
      </c>
      <c r="E176" s="2" t="s">
        <v>166</v>
      </c>
    </row>
    <row r="177" spans="2:5">
      <c r="B177">
        <v>5</v>
      </c>
      <c r="D177" s="3" t="s">
        <v>164</v>
      </c>
      <c r="E177" s="2" t="s">
        <v>167</v>
      </c>
    </row>
    <row r="178" spans="2:5">
      <c r="B178">
        <v>5</v>
      </c>
      <c r="D178" s="3" t="s">
        <v>164</v>
      </c>
      <c r="E178" s="2" t="s">
        <v>168</v>
      </c>
    </row>
    <row r="179" spans="2:5">
      <c r="B179">
        <v>5</v>
      </c>
      <c r="D179" s="3" t="s">
        <v>164</v>
      </c>
      <c r="E179" s="2" t="s">
        <v>169</v>
      </c>
    </row>
    <row r="180" spans="2:5">
      <c r="B180">
        <v>5</v>
      </c>
      <c r="D180" s="3" t="s">
        <v>164</v>
      </c>
      <c r="E180" s="2" t="s">
        <v>170</v>
      </c>
    </row>
    <row r="181" spans="2:5">
      <c r="B181">
        <v>5</v>
      </c>
      <c r="D181" s="3" t="s">
        <v>164</v>
      </c>
      <c r="E181" s="2" t="s">
        <v>171</v>
      </c>
    </row>
    <row r="182" spans="2:5">
      <c r="B182">
        <v>5</v>
      </c>
      <c r="D182" s="3" t="s">
        <v>164</v>
      </c>
      <c r="E182" s="2" t="s">
        <v>172</v>
      </c>
    </row>
    <row r="184" spans="2:5">
      <c r="B184">
        <v>5</v>
      </c>
      <c r="D184" s="3" t="s">
        <v>173</v>
      </c>
      <c r="E184" s="2" t="s">
        <v>174</v>
      </c>
    </row>
    <row r="185" spans="2:5">
      <c r="B185">
        <v>5</v>
      </c>
      <c r="D185" s="3" t="s">
        <v>173</v>
      </c>
      <c r="E185" s="2" t="s">
        <v>175</v>
      </c>
    </row>
    <row r="186" spans="2:5">
      <c r="B186">
        <v>5</v>
      </c>
      <c r="D186" s="3" t="s">
        <v>173</v>
      </c>
      <c r="E186" s="2" t="s">
        <v>176</v>
      </c>
    </row>
    <row r="187" spans="2:5">
      <c r="B187">
        <v>5</v>
      </c>
      <c r="D187" s="3" t="s">
        <v>173</v>
      </c>
      <c r="E187" s="2" t="s">
        <v>177</v>
      </c>
    </row>
    <row r="188" spans="2:5">
      <c r="B188">
        <v>5</v>
      </c>
      <c r="D188" s="3" t="s">
        <v>173</v>
      </c>
      <c r="E188" s="2" t="s">
        <v>178</v>
      </c>
    </row>
    <row r="189" spans="2:5">
      <c r="B189">
        <v>5</v>
      </c>
      <c r="D189" s="3" t="s">
        <v>173</v>
      </c>
      <c r="E189" s="2" t="s">
        <v>179</v>
      </c>
    </row>
    <row r="190" spans="2:5">
      <c r="B190">
        <v>5</v>
      </c>
      <c r="D190" s="3" t="s">
        <v>173</v>
      </c>
      <c r="E190" s="2" t="s">
        <v>180</v>
      </c>
    </row>
    <row r="191" spans="2:5">
      <c r="B191">
        <v>5</v>
      </c>
      <c r="D191" s="3" t="s">
        <v>173</v>
      </c>
      <c r="E191" s="2" t="s">
        <v>181</v>
      </c>
    </row>
    <row r="193" spans="4:5">
      <c r="D193" s="6"/>
      <c r="E193" s="7"/>
    </row>
  </sheetData>
  <pageMargins left="0.7" right="0.7" top="0.78740157499999996" bottom="0.78740157499999996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Stoll</dc:creator>
  <cp:lastModifiedBy>Pascal Stoll</cp:lastModifiedBy>
  <dcterms:created xsi:type="dcterms:W3CDTF">2026-05-08T10:04:34Z</dcterms:created>
  <dcterms:modified xsi:type="dcterms:W3CDTF">2026-05-11T00:44:06Z</dcterms:modified>
</cp:coreProperties>
</file>